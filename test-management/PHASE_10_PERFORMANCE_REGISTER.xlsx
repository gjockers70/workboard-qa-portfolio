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62ea77f1d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5a70f8fae34f34"/>
    <x:sheet xmlns:r="http://schemas.openxmlformats.org/officeDocument/2006/relationships" name="Quality Gate" sheetId="2" r:id="Recbd97cee29446a0"/>
    <x:sheet xmlns:r="http://schemas.openxmlformats.org/officeDocument/2006/relationships" name="Endpoint Metrics" sheetId="3" r:id="R8b520e1b936046ad"/>
    <x:sheet xmlns:r="http://schemas.openxmlformats.org/officeDocument/2006/relationships" name="Execution Record" sheetId="4" r:id="Rfef6f7aa250e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%"/>
    <x:numFmt numFmtId="202" formatCode="0.00 &quot;ms&quot;"/>
    <x:numFmt numFmtId="203" formatCode="0.00 &quot;req/s&quot;"/>
    <x:numFmt numFmtId="204" formatCode="0.00"/>
    <x:numFmt numFmtId="205" formatCode="yyyy-mm-dd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20"/>
      <x:color rgb="FFFFFFFF"/>
      <x:name val="Aptos Display"/>
    </x:font>
    <x:font>
      <x:b/>
      <x:sz val="11"/>
      <x:color rgb="FFFFFFFF"/>
      <x:name val="Carlito"/>
    </x:font>
    <x:font>
      <x:b/>
      <x:sz val="10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8FB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</x:borders>
  <x:cellStyleXfs count="1">
    <x:xf numFmtId="0" fontId="0" fillId="0" borderId="0"/>
  </x:cellStyleXfs>
  <x:cellXfs count="8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2" fontId="1" fillId="3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4" fontId="1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 wrapText="1"/>
    </x:xf>
    <x:xf numFmtId="204" fontId="1" fillId="0" borderId="1" xfId="0" applyNumberFormat="1" applyFont="1" applyFill="1" applyBorder="1" applyAlignment="1">
      <x:alignment vertical="top" wrapText="1"/>
    </x:xf>
    <x:xf numFmtId="204" fontId="1" fillId="3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1" fillId="0" borderId="0" xfId="0" applyNumberFormat="1" applyFont="1" applyFill="1" applyBorder="1"/>
    <x:xf numFmtId="205" fontId="1" fillId="0" borderId="0" xfId="0" applyNumberFormat="1" applyFont="1" applyFill="1" applyBorder="1" applyAlignment="1">
      <x:alignment vertical="top"/>
    </x:xf>
    <x:xf numFmtId="205" fontId="1" fillId="0" borderId="0" xfId="0" applyNumberFormat="1" applyFont="1" applyFill="1" applyBorder="1" applyAlignment="1">
      <x:alignment vertical="top" wrapText="1"/>
    </x:xf>
    <x:xf numFmtId="205" fontId="1" fillId="0" borderId="1" xfId="0" applyNumberFormat="1" applyFont="1" applyFill="1" applyBorder="1" applyAlignment="1">
      <x:alignment vertical="top" wrapText="1"/>
    </x:xf>
    <x:xf numFmtId="205" fontId="1" fillId="3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3" borderId="0" xfId="0" applyNumberFormat="1" applyFont="1" applyFill="1" applyBorder="1"/>
    <x:xf numFmtId="0" fontId="4" fillId="2" borderId="1" xfId="0" applyNumberFormat="1" applyFont="1" applyFill="1" applyBorder="1"/>
    <x:xf numFmtId="0" fontId="0" fillId="4" borderId="1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203" fontId="0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1" fillId="4" borderId="1" xfId="0" applyNumberFormat="1" applyFont="1" applyFill="1" applyBorder="1"/>
    <x:xf numFmtId="0" fontId="1" fillId="5" borderId="1" xfId="0" applyNumberFormat="1" applyFont="1" applyFill="1" applyBorder="1"/>
    <x:xf numFmtId="0" fontId="1" fillId="6" borderId="1" xfId="0" applyNumberFormat="1" applyFont="1" applyFill="1" applyBorder="1"/>
    <x:xf numFmtId="200" fontId="1" fillId="5" borderId="1" xfId="0" applyNumberFormat="1" applyFont="1" applyFill="1" applyBorder="1"/>
    <x:xf numFmtId="201" fontId="1" fillId="5" borderId="1" xfId="0" applyNumberFormat="1" applyFont="1" applyFill="1" applyBorder="1"/>
    <x:xf numFmtId="202" fontId="1" fillId="5" borderId="1" xfId="0" applyNumberFormat="1" applyFont="1" applyFill="1" applyBorder="1"/>
    <x:xf numFmtId="0" fontId="1" fillId="0" borderId="1" xfId="0" applyNumberFormat="1" applyFont="1" applyFill="1" applyBorder="1"/>
    <x:xf numFmtId="203" fontId="1" fillId="5" borderId="1" xfId="0" applyNumberFormat="1" applyFont="1" applyFill="1" applyBorder="1"/>
    <x:xf numFmtId="0" fontId="1" fillId="3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200" fontId="1" fillId="5" borderId="1" xfId="0" applyNumberFormat="1" applyFont="1" applyFill="1" applyBorder="1" applyAlignment="1">
      <x:alignment wrapText="1"/>
    </x:xf>
    <x:xf numFmtId="201" fontId="1" fillId="5" borderId="1" xfId="0" applyNumberFormat="1" applyFont="1" applyFill="1" applyBorder="1" applyAlignment="1">
      <x:alignment wrapText="1"/>
    </x:xf>
    <x:xf numFmtId="202" fontId="1" fillId="5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3" fontId="1" fillId="5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4f181cc04489e" /><Relationship Type="http://schemas.openxmlformats.org/officeDocument/2006/relationships/theme" Target="/xl/theme/theme1.xml" Id="Rb91ddd1f097b4586" /><Relationship Type="http://schemas.openxmlformats.org/officeDocument/2006/relationships/sharedStrings" Target="/xl/sharedStrings.xml" Id="R43ec38f4cf4f4e14" /><Relationship Type="http://schemas.openxmlformats.org/officeDocument/2006/relationships/worksheet" Target="/xl/worksheets/sheet1.xml" Id="R545a70f8fae34f34" /><Relationship Type="http://schemas.openxmlformats.org/officeDocument/2006/relationships/worksheet" Target="/xl/worksheets/sheet2.xml" Id="Recbd97cee29446a0" /><Relationship Type="http://schemas.openxmlformats.org/officeDocument/2006/relationships/worksheet" Target="/xl/worksheets/sheet3.xml" Id="R8b520e1b936046ad" /><Relationship Type="http://schemas.openxmlformats.org/officeDocument/2006/relationships/worksheet" Target="/xl/worksheets/sheet4.xml" Id="Rfef6f7aa250e4583" /></Relationships>
</file>

<file path=xl/tables/table1.xml><?xml version="1.0" encoding="utf-8"?>
<x:table xmlns:x="http://schemas.openxmlformats.org/spreadsheetml/2006/main" id="1" name="QualityGateTable" displayName="QualityGateTable" ref="A1:E8" headerRowCount="1" totalsRowCount="0" totalsRowShown="0">
  <x:autoFilter ref="A1:E8"/>
  <x:tableColumns count="5">
    <x:tableColumn id="1" name="Measure"/>
    <x:tableColumn id="2" name="Observed"/>
    <x:tableColumn id="3" name="Target"/>
    <x:tableColumn id="4" name="Comparison"/>
    <x:tableColumn id="5" name="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dpointMetricsTable" displayName="EndpointMetricsTable" ref="A1:F4" headerRowCount="1" totalsRowCount="0" totalsRowShown="0">
  <x:autoFilter ref="A1:F4"/>
  <x:tableColumns count="6">
    <x:tableColumn id="1" name="Request"/>
    <x:tableColumn id="2" name="Samples"/>
    <x:tableColumn id="3" name="Failures"/>
    <x:tableColumn id="4" name="Average ms"/>
    <x:tableColumn id="5" name="p95 ms"/>
    <x:tableColumn id="6" name="Requests per seco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ecutionRecordTable" displayName="ExecutionRecordTable" ref="A1:H2" headerRowCount="1" totalsRowCount="0" totalsRowShown="0">
  <x:autoFilter ref="A1:H2"/>
  <x:tableColumns count="8">
    <x:tableColumn id="1" name="Execution ID"/>
    <x:tableColumn id="2" name="Cycle ID"/>
    <x:tableColumn id="3" name="Test Case ID"/>
    <x:tableColumn id="4" name="Result"/>
    <x:tableColumn id="5" name="Executed At"/>
    <x:tableColumn id="6" name="Environment"/>
    <x:tableColumn id="7" name="Workload"/>
    <x:tableColumn id="8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orkBoard">
  <a:themeElements>
    <a:clrScheme name="WorkBo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orkBoard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f8035d160e44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d2a0a02e2d4f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9e7c0bfa8d4b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77" t="str">
        <x:v>WorkBoard Phase 10 Performance Register</x:v>
      </x:c>
      <x:c r="B1" s="77" t="str">
        <x:v>WorkBoard Phase 10 Performance Register</x:v>
      </x:c>
      <x:c r="C1" s="77" t="str">
        <x:v>WorkBoard Phase 10 Performance Register</x:v>
      </x:c>
      <x:c r="D1" s="77" t="str">
        <x:v>WorkBoard Phase 10 Performance Register</x:v>
      </x:c>
      <x:c r="E1" s="77" t="str">
        <x:v>WorkBoard Phase 10 Performance Register</x:v>
      </x:c>
      <x:c r="F1" s="77" t="str">
        <x:v>WorkBoard Phase 10 Performance Register</x:v>
      </x:c>
    </x:row>
    <x:row r="2">
      <x:c r="A2" s="77" t="str">
        <x:v>WorkBoard Phase 10 Performance Register</x:v>
      </x:c>
      <x:c r="B2" s="77" t="str">
        <x:v>WorkBoard Phase 10 Performance Register</x:v>
      </x:c>
      <x:c r="C2" s="77" t="str">
        <x:v>WorkBoard Phase 10 Performance Register</x:v>
      </x:c>
      <x:c r="D2" s="77" t="str">
        <x:v>WorkBoard Phase 10 Performance Register</x:v>
      </x:c>
      <x:c r="E2" s="77" t="str">
        <x:v>WorkBoard Phase 10 Performance Register</x:v>
      </x:c>
      <x:c r="F2" s="77" t="str">
        <x:v>WorkBoard Phase 10 Performance Register</x:v>
      </x:c>
    </x:row>
    <x:row r="3" ht="15" hidden="0" customHeight="1">
      <x:c r="A3" s="78"/>
      <x:c r="B3" s="78"/>
      <x:c r="C3" s="78"/>
      <x:c r="D3" s="78"/>
      <x:c r="E3" s="78"/>
      <x:c r="F3" s="78"/>
    </x:row>
    <x:row r="4" ht="15" hidden="0" customHeight="1">
      <x:c r="A4" s="79" t="str">
        <x:v>Measure</x:v>
      </x:c>
      <x:c r="B4" s="79" t="str">
        <x:v>Value</x:v>
      </x:c>
      <x:c r="C4" s="78"/>
      <x:c r="D4" s="79" t="str">
        <x:v>Evidence boundary</x:v>
      </x:c>
      <x:c r="E4" s="79" t="str">
        <x:v>Evidence boundary</x:v>
      </x:c>
      <x:c r="F4" s="79" t="str">
        <x:v>Evidence boundary</x:v>
      </x:c>
    </x:row>
    <x:row r="5" ht="15" hidden="0" customHeight="1">
      <x:c r="A5" s="80" t="str">
        <x:v>Checkpoint result</x:v>
      </x:c>
      <x:c r="B5" s="81" t="str">
        <x:f>IF(COUNTIF('Quality Gate'!E2:E8,"Fail")=0,"Pass","Fail")</x:f>
        <x:v>Pass</x:v>
      </x:c>
      <x:c r="C5" s="78"/>
      <x:c r="D5" s="82" t="str">
        <x:v>This is one bounded local load observation using synthetic accounts and an isolated SQLite database. It is not a production-capacity result or service-level commitment.</x:v>
      </x:c>
      <x:c r="E5" s="82" t="str">
        <x:v>This is one bounded local load observation using synthetic accounts and an isolated SQLite database. It is not a production-capacity result or service-level commitment.</x:v>
      </x:c>
      <x:c r="F5" s="82" t="str">
        <x:v>This is one bounded local load observation using synthetic accounts and an isolated SQLite database. It is not a production-capacity result or service-level commitment.</x:v>
      </x:c>
    </x:row>
    <x:row r="6" ht="15" hidden="0" customHeight="1">
      <x:c r="A6" s="80" t="str">
        <x:v>Peak concurrent users</x:v>
      </x:c>
      <x:c r="B6" s="83" t="n">
        <x:f>'Quality Gate'!B2</x:f>
        <x:v>10</x:v>
      </x:c>
      <x:c r="C6" s="78"/>
      <x:c r="D6" s="82" t="str">
        <x:v>This is one bounded local load observation using synthetic accounts and an isolated SQLite database. It is not a production-capacity result or service-level commitment.</x:v>
      </x:c>
      <x:c r="E6" s="82" t="str">
        <x:v>This is one bounded local load observation using synthetic accounts and an isolated SQLite database. It is not a production-capacity result or service-level commitment.</x:v>
      </x:c>
      <x:c r="F6" s="82" t="str">
        <x:v>This is one bounded local load observation using synthetic accounts and an isolated SQLite database. It is not a production-capacity result or service-level commitment.</x:v>
      </x:c>
    </x:row>
    <x:row r="7" ht="15" hidden="0" customHeight="1">
      <x:c r="A7" s="80" t="str">
        <x:v>Authenticated read requests</x:v>
      </x:c>
      <x:c r="B7" s="83" t="n">
        <x:f>'Quality Gate'!B3</x:f>
        <x:v>749</x:v>
      </x:c>
      <x:c r="C7" s="78"/>
      <x:c r="D7" s="82" t="str">
        <x:v>This is one bounded local load observation using synthetic accounts and an isolated SQLite database. It is not a production-capacity result or service-level commitment.</x:v>
      </x:c>
      <x:c r="E7" s="82" t="str">
        <x:v>This is one bounded local load observation using synthetic accounts and an isolated SQLite database. It is not a production-capacity result or service-level commitment.</x:v>
      </x:c>
      <x:c r="F7" s="82" t="str">
        <x:v>This is one bounded local load observation using synthetic accounts and an isolated SQLite database. It is not a production-capacity result or service-level commitment.</x:v>
      </x:c>
    </x:row>
    <x:row r="8" ht="15" hidden="0" customHeight="1">
      <x:c r="A8" s="80" t="str">
        <x:v>Request error rate</x:v>
      </x:c>
      <x:c r="B8" s="84" t="n">
        <x:f>'Quality Gate'!B4</x:f>
        <x:v>0</x:v>
      </x:c>
      <x:c r="C8" s="78"/>
      <x:c r="D8" s="82" t="str">
        <x:v>This is one bounded local load observation using synthetic accounts and an isolated SQLite database. It is not a production-capacity result or service-level commitment.</x:v>
      </x:c>
      <x:c r="E8" s="82" t="str">
        <x:v>This is one bounded local load observation using synthetic accounts and an isolated SQLite database. It is not a production-capacity result or service-level commitment.</x:v>
      </x:c>
      <x:c r="F8" s="82" t="str">
        <x:v>This is one bounded local load observation using synthetic accounts and an isolated SQLite database. It is not a production-capacity result or service-level commitment.</x:v>
      </x:c>
    </x:row>
    <x:row r="9" ht="15" hidden="0" customHeight="1">
      <x:c r="A9" s="80" t="str">
        <x:v>Average response time</x:v>
      </x:c>
      <x:c r="B9" s="85" t="n">
        <x:f>'Quality Gate'!B5</x:f>
        <x:v>4.6</x:v>
      </x:c>
      <x:c r="C9" s="78"/>
      <x:c r="D9" s="86"/>
      <x:c r="E9" s="86"/>
      <x:c r="F9" s="86"/>
    </x:row>
    <x:row r="10" ht="15" hidden="0" customHeight="1">
      <x:c r="A10" s="80" t="str">
        <x:v>95th-percentile response time</x:v>
      </x:c>
      <x:c r="B10" s="85" t="n">
        <x:f>'Quality Gate'!B6</x:f>
        <x:v>17</x:v>
      </x:c>
      <x:c r="C10" s="78"/>
      <x:c r="D10" s="79" t="str">
        <x:v>Reproduce</x:v>
      </x:c>
      <x:c r="E10" s="79" t="str">
        <x:v>Reproduce</x:v>
      </x:c>
      <x:c r="F10" s="79" t="str">
        <x:v>Reproduce</x:v>
      </x:c>
    </x:row>
    <x:row r="11" ht="15" hidden="0" customHeight="1">
      <x:c r="A11" s="80" t="str">
        <x:v>Throughput</x:v>
      </x:c>
      <x:c r="B11" s="87" t="n">
        <x:f>'Quality Gate'!B7</x:f>
        <x:v>25.45</x:v>
      </x:c>
      <x:c r="C11" s="78"/>
      <x:c r="D11" s="88" t="str">
        <x:v>.venv\Scripts\python.exe scripts\run_performance_baseline.py</x:v>
      </x:c>
      <x:c r="E11" s="88" t="str">
        <x:v>.venv\Scripts\python.exe scripts\run_performance_baseline.py</x:v>
      </x:c>
      <x:c r="F11" s="88" t="str">
        <x:v>.venv\Scripts\python.exe scripts\run_performance_baseline.py</x:v>
      </x:c>
    </x:row>
    <x:row r="12" ht="15" hidden="0" customHeight="1">
      <x:c r="A12" s="80" t="str">
        <x:v>Setup failures</x:v>
      </x:c>
      <x:c r="B12" s="83" t="n">
        <x:f>'Quality Gate'!B8</x:f>
        <x:v>0</x:v>
      </x:c>
      <x:c r="C12" s="78"/>
      <x:c r="D12" s="88" t="str">
        <x:v>.venv\Scripts\python.exe scripts\run_performance_baseline.py</x:v>
      </x:c>
      <x:c r="E12" s="88" t="str">
        <x:v>.venv\Scripts\python.exe scripts\run_performance_baseline.py</x:v>
      </x:c>
      <x:c r="F12" s="88" t="str">
        <x:v>.venv\Scripts\python.exe scripts\run_performance_baseline.py</x:v>
      </x:c>
    </x:row>
  </x:sheetData>
  <x:mergeCells>
    <x:mergeCell ref="A1:F2"/>
    <x:mergeCell ref="D4:F4"/>
    <x:mergeCell ref="D5:F8"/>
    <x:mergeCell ref="D10:F10"/>
    <x:mergeCell ref="D11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</x:cols>
  <x:sheetData>
    <x:row r="1" ht="15" hidden="0" customHeight="1">
      <x:c r="A1" s="27" t="str">
        <x:v>Measure</x:v>
      </x:c>
      <x:c r="B1" s="27" t="str">
        <x:v>Observed</x:v>
      </x:c>
      <x:c r="C1" s="27" t="str">
        <x:v>Target</x:v>
      </x:c>
      <x:c r="D1" s="27" t="str">
        <x:v>Comparison</x:v>
      </x:c>
      <x:c r="E1" s="27" t="str">
        <x:v>Result</x:v>
      </x:c>
    </x:row>
    <x:row r="2" ht="15" hidden="0" customHeight="1">
      <x:c r="A2" s="28" t="str">
        <x:v>Peak concurrent users</x:v>
      </x:c>
      <x:c r="B2" s="29" t="n">
        <x:v>10</x:v>
      </x:c>
      <x:c r="C2" s="29" t="n">
        <x:v>10</x:v>
      </x:c>
      <x:c r="D2" s="28" t="str">
        <x:v>Equal</x:v>
      </x:c>
      <x:c r="E2" s="28" t="str">
        <x:f>IF(B2=C2,"Pass","Fail")</x:f>
        <x:v>Pass</x:v>
      </x:c>
    </x:row>
    <x:row r="3" ht="15" hidden="0" customHeight="1">
      <x:c r="A3" s="20" t="str">
        <x:v>Authenticated read requests</x:v>
      </x:c>
      <x:c r="B3" s="21" t="n">
        <x:v>749</x:v>
      </x:c>
      <x:c r="C3" s="21" t="n">
        <x:v>1</x:v>
      </x:c>
      <x:c r="D3" s="20" t="str">
        <x:v>At least</x:v>
      </x:c>
      <x:c r="E3" s="20" t="str">
        <x:f>IF(B3&gt;=C3,"Pass","Fail")</x:f>
        <x:v>Pass</x:v>
      </x:c>
    </x:row>
    <x:row r="4" ht="15" hidden="0" customHeight="1">
      <x:c r="A4" s="28" t="str">
        <x:v>Request error rate</x:v>
      </x:c>
      <x:c r="B4" s="30" t="n">
        <x:v>0</x:v>
      </x:c>
      <x:c r="C4" s="30" t="n">
        <x:v>0.01</x:v>
      </x:c>
      <x:c r="D4" s="28" t="str">
        <x:v>Below</x:v>
      </x:c>
      <x:c r="E4" s="28" t="str">
        <x:f>IF(B4&lt;C4,"Pass","Fail")</x:f>
        <x:v>Pass</x:v>
      </x:c>
    </x:row>
    <x:row r="5" ht="15" hidden="0" customHeight="1">
      <x:c r="A5" s="20" t="str">
        <x:v>Average response time</x:v>
      </x:c>
      <x:c r="B5" s="23" t="n">
        <x:v>4.6</x:v>
      </x:c>
      <x:c r="C5" s="23"/>
      <x:c r="D5" s="20" t="str">
        <x:v>Observe</x:v>
      </x:c>
      <x:c r="E5" s="20" t="str">
        <x:v>Recorded</x:v>
      </x:c>
    </x:row>
    <x:row r="6" ht="15" hidden="0" customHeight="1">
      <x:c r="A6" s="28" t="str">
        <x:v>95th-percentile response time</x:v>
      </x:c>
      <x:c r="B6" s="31" t="n">
        <x:v>17</x:v>
      </x:c>
      <x:c r="C6" s="31" t="n">
        <x:v>500</x:v>
      </x:c>
      <x:c r="D6" s="28" t="str">
        <x:v>Below</x:v>
      </x:c>
      <x:c r="E6" s="28" t="str">
        <x:f>IF(B6&lt;C6,"Pass","Fail")</x:f>
        <x:v>Pass</x:v>
      </x:c>
    </x:row>
    <x:row r="7" ht="15" hidden="0" customHeight="1">
      <x:c r="A7" s="20" t="str">
        <x:v>Throughput</x:v>
      </x:c>
      <x:c r="B7" s="24" t="n">
        <x:v>25.45</x:v>
      </x:c>
      <x:c r="C7" s="20"/>
      <x:c r="D7" s="20" t="str">
        <x:v>Observe</x:v>
      </x:c>
      <x:c r="E7" s="20" t="str">
        <x:v>Recorded</x:v>
      </x:c>
    </x:row>
    <x:row r="8" ht="15" hidden="0" customHeight="1">
      <x:c r="A8" s="28" t="str">
        <x:v>Account setup failures</x:v>
      </x:c>
      <x:c r="B8" s="29" t="n">
        <x:v>0</x:v>
      </x:c>
      <x:c r="C8" s="29" t="n">
        <x:v>0</x:v>
      </x:c>
      <x:c r="D8" s="28" t="str">
        <x:v>Equal</x:v>
      </x:c>
      <x:c r="E8" s="28" t="str">
        <x:f>IF(B8=C8,"Pass","Fail")</x:f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60f8035d160e44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8" hidden="0" customWidth="1"/>
    <x:col min="5" max="5" width="16" hidden="0" customWidth="1"/>
    <x:col min="6" max="6" width="24" hidden="0" customWidth="1"/>
  </x:cols>
  <x:sheetData>
    <x:row r="1" ht="15" hidden="0" customHeight="1">
      <x:c r="A1" s="27" t="str">
        <x:v>Request</x:v>
      </x:c>
      <x:c r="B1" s="27" t="str">
        <x:v>Samples</x:v>
      </x:c>
      <x:c r="C1" s="27" t="str">
        <x:v>Failures</x:v>
      </x:c>
      <x:c r="D1" s="27" t="str">
        <x:v>Average ms</x:v>
      </x:c>
      <x:c r="E1" s="27" t="str">
        <x:v>p95 ms</x:v>
      </x:c>
      <x:c r="F1" s="27" t="str">
        <x:v>Requests per second</x:v>
      </x:c>
    </x:row>
    <x:row r="2" ht="15" hidden="0" customHeight="1">
      <x:c r="A2" s="28" t="str">
        <x:v>GET /api/profile</x:v>
      </x:c>
      <x:c r="B2" s="29" t="n">
        <x:v>224</x:v>
      </x:c>
      <x:c r="C2" s="29" t="n">
        <x:v>0</x:v>
      </x:c>
      <x:c r="D2" s="37" t="n">
        <x:v>4.31</x:v>
      </x:c>
      <x:c r="E2" s="37" t="n">
        <x:v>17</x:v>
      </x:c>
      <x:c r="F2" s="37" t="n">
        <x:v>7.61</x:v>
      </x:c>
    </x:row>
    <x:row r="3" ht="15" hidden="0" customHeight="1">
      <x:c r="A3" s="20" t="str">
        <x:v>GET /api/tasks</x:v>
      </x:c>
      <x:c r="B3" s="21" t="n">
        <x:v>395</x:v>
      </x:c>
      <x:c r="C3" s="21" t="n">
        <x:v>0</x:v>
      </x:c>
      <x:c r="D3" s="36" t="n">
        <x:v>4.71</x:v>
      </x:c>
      <x:c r="E3" s="36" t="n">
        <x:v>18</x:v>
      </x:c>
      <x:c r="F3" s="36" t="n">
        <x:v>13.42</x:v>
      </x:c>
    </x:row>
    <x:row r="4" ht="15" hidden="0" customHeight="1">
      <x:c r="A4" s="28" t="str">
        <x:v>GET /api/tasks?search&amp;state</x:v>
      </x:c>
      <x:c r="B4" s="29" t="n">
        <x:v>130</x:v>
      </x:c>
      <x:c r="C4" s="29" t="n">
        <x:v>0</x:v>
      </x:c>
      <x:c r="D4" s="37" t="n">
        <x:v>4.77</x:v>
      </x:c>
      <x:c r="E4" s="37" t="n">
        <x:v>17</x:v>
      </x:c>
      <x:c r="F4" s="37" t="n">
        <x:v>4.42</x:v>
      </x:c>
    </x:row>
  </x:sheetData>
  <x:pageMargins left="0.7" right="0.7" top="0.75" bottom="0.75" header="0.3" footer="0.3"/>
  <x:tableParts count="1">
    <x:tablePart xmlns:r="http://schemas.openxmlformats.org/officeDocument/2006/relationships" r:id="R71d2a0a02e2d4f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14" hidden="0" customWidth="1"/>
    <x:col min="5" max="5" width="16" hidden="0" customWidth="1"/>
    <x:col min="6" max="6" width="48" hidden="0" customWidth="1"/>
    <x:col min="7" max="7" width="42" hidden="0" customWidth="1"/>
    <x:col min="8" max="8" width="54" hidden="0" customWidth="1"/>
  </x:cols>
  <x:sheetData>
    <x:row r="1" ht="15" hidden="0" customHeight="1">
      <x:c r="A1" s="27" t="str">
        <x:v>Execution ID</x:v>
      </x:c>
      <x:c r="B1" s="27" t="str">
        <x:v>Cycle ID</x:v>
      </x:c>
      <x:c r="C1" s="27" t="str">
        <x:v>Test Case ID</x:v>
      </x:c>
      <x:c r="D1" s="27" t="str">
        <x:v>Result</x:v>
      </x:c>
      <x:c r="E1" s="27" t="str">
        <x:v>Executed At</x:v>
      </x:c>
      <x:c r="F1" s="27" t="str">
        <x:v>Environment</x:v>
      </x:c>
      <x:c r="G1" s="27" t="str">
        <x:v>Workload</x:v>
      </x:c>
      <x:c r="H1" s="27" t="str">
        <x:v>Evidence</x:v>
      </x:c>
    </x:row>
    <x:row r="2" ht="24" hidden="0" customHeight="1">
      <x:c r="A2" s="28" t="str">
        <x:v>PH10-20260810-001</x:v>
      </x:c>
      <x:c r="B2" s="28" t="str">
        <x:v>CYCLE-PH10-PERFORMANCE</x:v>
      </x:c>
      <x:c r="C2" s="28" t="str">
        <x:v>TC-RELEASE-005</x:v>
      </x:c>
      <x:c r="D2" s="28" t="str">
        <x:v>Pass</x:v>
      </x:c>
      <x:c r="E2" s="43" t="n">
        <x:v>46244</x:v>
      </x:c>
      <x:c r="F2" s="28" t="str">
        <x:v>Windows 11; Python 3.12.10; Locust 2.46.0; isolated SQLite</x:v>
      </x:c>
      <x:c r="G2" s="28" t="str">
        <x:v>10 users; 30 seconds; 0.2-0.5 second wait</x:v>
      </x:c>
      <x:c r="H2" s="28" t="str">
        <x:v>performance/PERFORMANCE_RESULTS.md; performance/baseline-results.json</x:v>
      </x:c>
    </x:row>
  </x:sheetData>
  <x:pageMargins left="0.7" right="0.7" top="0.75" bottom="0.75" header="0.3" footer="0.3"/>
  <x:tableParts count="1">
    <x:tablePart xmlns:r="http://schemas.openxmlformats.org/officeDocument/2006/relationships" r:id="Re99e7c0bfa8d4bed"/>
  </x:tableParts>
</x:worksheet>
</file>