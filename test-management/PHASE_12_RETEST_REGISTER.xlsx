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88900be0b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7ba079aa5a4eb8"/>
    <x:sheet xmlns:r="http://schemas.openxmlformats.org/officeDocument/2006/relationships" name="Defect Retests" sheetId="2" r:id="Rc43ca3c47ccd447d"/>
    <x:sheet xmlns:r="http://schemas.openxmlformats.org/officeDocument/2006/relationships" name="Regression" sheetId="3" r:id="R3dc4de00d87a494a"/>
    <x:sheet xmlns:r="http://schemas.openxmlformats.org/officeDocument/2006/relationships" name="UAT Decisions" sheetId="4" r:id="Rcbb86cc9ef85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F641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A9BED3"/>
      </x:left>
      <x:right style="thin">
        <x:color rgb="FFA9BED3"/>
      </x:right>
      <x:top style="thin">
        <x:color rgb="FFA9BED3"/>
      </x:top>
      <x:bottom style="thin">
        <x:color rgb="FFA9BED3"/>
      </x:bottom>
    </x:border>
    <x:border>
      <x:left style="thin">
        <x:color rgb="FFA9BED3"/>
      </x:left>
      <x:top style="thin">
        <x:color rgb="FFA9BED3"/>
      </x:top>
    </x:border>
    <x:border>
      <x:top style="thin">
        <x:color rgb="FFA9BED3"/>
      </x:top>
    </x:border>
    <x:border>
      <x:right style="thin">
        <x:color rgb="FFA9BED3"/>
      </x:right>
      <x:top style="thin">
        <x:color rgb="FFA9BED3"/>
      </x:top>
    </x:border>
    <x:border>
      <x:left style="thin">
        <x:color rgb="FFA9BED3"/>
      </x:left>
    </x:border>
    <x:border>
      <x:right style="thin">
        <x:color rgb="FFA9BED3"/>
      </x:right>
    </x:border>
    <x:border>
      <x:left style="thin">
        <x:color rgb="FFA9BED3"/>
      </x:left>
      <x:bottom style="thin">
        <x:color rgb="FFA9BED3"/>
      </x:bottom>
    </x:border>
    <x:border>
      <x:bottom style="thin">
        <x:color rgb="FFA9BED3"/>
      </x:bottom>
    </x:border>
    <x:border>
      <x:right style="thin">
        <x:color rgb="FFA9BED3"/>
      </x:right>
      <x:bottom style="thin">
        <x:color rgb="FFA9BED3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200" fontId="0" fillId="4" borderId="1" xfId="0" applyNumberFormat="1" applyFont="1" applyFill="1" applyBorder="1" applyAlignment="1">
      <x:alignment horizontal="right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1c0d59209428a" /><Relationship Type="http://schemas.openxmlformats.org/officeDocument/2006/relationships/theme" Target="/xl/theme/theme1.xml" Id="R27ae45bb7d134a47" /><Relationship Type="http://schemas.openxmlformats.org/officeDocument/2006/relationships/sharedStrings" Target="/xl/sharedStrings.xml" Id="R00fe3187423d4a8c" /><Relationship Type="http://schemas.openxmlformats.org/officeDocument/2006/relationships/worksheet" Target="/xl/worksheets/sheet1.xml" Id="R817ba079aa5a4eb8" /><Relationship Type="http://schemas.openxmlformats.org/officeDocument/2006/relationships/worksheet" Target="/xl/worksheets/sheet2.xml" Id="Rc43ca3c47ccd447d" /><Relationship Type="http://schemas.openxmlformats.org/officeDocument/2006/relationships/worksheet" Target="/xl/worksheets/sheet3.xml" Id="R3dc4de00d87a494a" /><Relationship Type="http://schemas.openxmlformats.org/officeDocument/2006/relationships/worksheet" Target="/xl/worksheets/sheet4.xml" Id="Rcbb86cc9ef854fba" /></Relationships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3" t="str">
        <x:v>WorkBoard Phase 12 Remediation and Retest Register</x:v>
      </x:c>
      <x:c r="B1" s="3"/>
      <x:c r="C1" s="3"/>
      <x:c r="D1" s="3"/>
      <x:c r="E1" s="3"/>
      <x:c r="F1" s="3"/>
    </x:row>
    <x:row r="2" ht="30" customHeight="1">
      <x:c r="A2" s="3"/>
      <x:c r="B2" s="3"/>
      <x:c r="C2" s="3"/>
      <x:c r="D2" s="3"/>
      <x:c r="E2" s="3"/>
      <x:c r="F2" s="3"/>
    </x:row>
    <x:row r="4" ht="30" customHeight="1">
      <x:c r="A4" s="7" t="str">
        <x:v>Measure</x:v>
      </x:c>
      <x:c r="B4" s="7" t="str">
        <x:v>Value</x:v>
      </x:c>
      <x:c r="D4" s="7" t="str">
        <x:v>Scope boundary</x:v>
      </x:c>
      <x:c r="E4" s="7"/>
      <x:c r="F4" s="7"/>
    </x:row>
    <x:row r="5">
      <x:c r="A5" s="11" t="str">
        <x:v>Managed executions</x:v>
      </x:c>
      <x:c r="B5" s="14" t="n">
        <x:f>COUNTA('Defect Retests'!A2:A5)+COUNTA('Regression'!A2:A7)</x:f>
        <x:v>10</x:v>
      </x:c>
      <x:c r="D5" s="34" t="str">
        <x:v>Four genuine closed defects were independently confirmed, followed by six managed critical regression cases. Phase 11 contained no product defect, so no UAT observation was converted into remediation work.</x:v>
      </x:c>
      <x:c r="E5" s="35"/>
      <x:c r="F5" s="36"/>
    </x:row>
    <x:row r="6">
      <x:c r="A6" s="11" t="str">
        <x:v>Passed</x:v>
      </x:c>
      <x:c r="B6" s="14" t="n">
        <x:f>COUNTIF('Defect Retests'!J2:J5,"Pass")+COUNTIF('Regression'!F2:F7,"Pass")</x:f>
        <x:v>10</x:v>
      </x:c>
      <x:c r="D6" s="37"/>
      <x:c r="E6" s="38"/>
      <x:c r="F6" s="39"/>
    </x:row>
    <x:row r="7">
      <x:c r="A7" s="11" t="str">
        <x:v>Failed</x:v>
      </x:c>
      <x:c r="B7" s="14" t="n">
        <x:f>COUNTIF('Defect Retests'!J2:J5,"Fail")+COUNTIF('Regression'!F2:F7,"Fail")</x:f>
        <x:v>0</x:v>
      </x:c>
      <x:c r="D7" s="37"/>
      <x:c r="E7" s="38"/>
      <x:c r="F7" s="39"/>
    </x:row>
    <x:row r="8">
      <x:c r="A8" s="11" t="str">
        <x:v>Blocked</x:v>
      </x:c>
      <x:c r="B8" s="14" t="n">
        <x:f>COUNTIF('Defect Retests'!J2:J5,"Blocked")+COUNTIF('Regression'!F2:F7,"Blocked")</x:f>
        <x:v>0</x:v>
      </x:c>
      <x:c r="D8" s="40"/>
      <x:c r="E8" s="41"/>
      <x:c r="F8" s="42"/>
    </x:row>
    <x:row r="9">
      <x:c r="A9" s="11" t="str">
        <x:v>Not run</x:v>
      </x:c>
      <x:c r="B9" s="14" t="n">
        <x:f>COUNTIF('Defect Retests'!J2:J5,"Not Run")+COUNTIF('Regression'!F2:F7,"Not Run")</x:f>
        <x:v>0</x:v>
      </x:c>
    </x:row>
    <x:row r="10" ht="30" customHeight="1">
      <x:c r="A10" s="11" t="str">
        <x:v>Closed defects confirmed</x:v>
      </x:c>
      <x:c r="B10" s="14" t="n">
        <x:f>COUNTIF('Defect Retests'!K2:K5,"Closed")</x:f>
        <x:v>4</x:v>
      </x:c>
      <x:c r="D10" s="7" t="str">
        <x:v>Count reconciliation</x:v>
      </x:c>
      <x:c r="E10" s="7"/>
      <x:c r="F10" s="7"/>
    </x:row>
    <x:row r="11">
      <x:c r="A11" s="11" t="str">
        <x:v>Focused automated checks</x:v>
      </x:c>
      <x:c r="B11" s="14" t="n">
        <x:f>SUM('Defect Retests'!L2:L5)+SUM('Regression'!G2:G7)</x:f>
        <x:v>12</x:v>
      </x:c>
      <x:c r="D11" s="61" t="str">
        <x:v>The managed cycle contains 10 cases. The focused command produces 12 automated checks because the responsive case expands to three viewport parameters.</x:v>
      </x:c>
      <x:c r="E11" s="62"/>
      <x:c r="F11" s="63"/>
    </x:row>
    <x:row r="12">
      <x:c r="A12" s="11" t="str">
        <x:v>Unauthorized product changes</x:v>
      </x:c>
      <x:c r="B12" s="14" t="n">
        <x:f>0</x:f>
        <x:v>0</x:v>
      </x:c>
      <x:c r="D12" s="64"/>
      <x:c r="E12" s="65"/>
      <x:c r="F12" s="66"/>
    </x:row>
    <x:row r="13">
      <x:c r="A13" s="11" t="str">
        <x:v>Complete project tests</x:v>
      </x:c>
      <x:c r="B13" s="14" t="n">
        <x:v>121</x:v>
      </x:c>
      <x:c r="D13" s="64"/>
      <x:c r="E13" s="65"/>
      <x:c r="F13" s="66"/>
    </x:row>
    <x:row r="14">
      <x:c r="A14" s="11" t="str">
        <x:v>Frontend production build</x:v>
      </x:c>
      <x:c r="B14" s="15" t="str">
        <x:v>PASS</x:v>
      </x:c>
      <x:c r="D14" s="64"/>
      <x:c r="E14" s="65"/>
      <x:c r="F14" s="66"/>
    </x:row>
    <x:row r="15">
      <x:c r="A15" s="11" t="str">
        <x:v>Checkpoint decision</x:v>
      </x:c>
      <x:c r="B15" s="15" t="str">
        <x:f>IF(AND(B5=B6,B7=0,B8=0,B9=0,B10=4,B11=12,B12=0,B13=121,B14="PASS"),"PASS","HOLD")</x:f>
        <x:v>PASS</x:v>
      </x:c>
      <x:c r="D15" s="67"/>
      <x:c r="E15" s="68"/>
      <x:c r="F15" s="69"/>
    </x:row>
  </x:sheetData>
  <x:mergeCells>
    <x:mergeCell ref="A1:F2"/>
    <x:mergeCell ref="D4:F4"/>
    <x:mergeCell ref="D5:F8"/>
    <x:mergeCell ref="D10:F10"/>
    <x:mergeCell ref="D11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8" hidden="0" customWidth="1"/>
    <x:col min="4" max="4" width="18" hidden="0" customWidth="1"/>
    <x:col min="5" max="5" width="18" hidden="0" customWidth="1"/>
    <x:col min="6" max="6" width="32" hidden="0" customWidth="1"/>
    <x:col min="7" max="7" width="32" hidden="0" customWidth="1"/>
    <x:col min="8" max="8" width="20" hidden="0" customWidth="1"/>
    <x:col min="9" max="9" width="3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7" t="str">
        <x:v>Defect ID</x:v>
      </x:c>
      <x:c r="B1" s="7" t="str">
        <x:v>Severity</x:v>
      </x:c>
      <x:c r="C1" s="7" t="str">
        <x:v>Source Case</x:v>
      </x:c>
      <x:c r="D1" s="7" t="str">
        <x:v>Original Evidence</x:v>
      </x:c>
      <x:c r="E1" s="7" t="str">
        <x:v>Original Result</x:v>
      </x:c>
      <x:c r="F1" s="7" t="str">
        <x:v>Correction</x:v>
      </x:c>
      <x:c r="G1" s="7" t="str">
        <x:v>Original Retest</x:v>
      </x:c>
      <x:c r="H1" s="7" t="str">
        <x:v>Phase 12 Execution</x:v>
      </x:c>
      <x:c r="I1" s="7" t="str">
        <x:v>Confirmation Method</x:v>
      </x:c>
      <x:c r="J1" s="7" t="str">
        <x:v>Phase 12 Result</x:v>
      </x:c>
      <x:c r="K1" s="7" t="str">
        <x:v>Final Status</x:v>
      </x:c>
      <x:c r="L1" s="7" t="str">
        <x:v>Automated Checks</x:v>
      </x:c>
    </x:row>
    <x:row r="2" ht="54" customHeight="1">
      <x:c r="A2" s="10" t="str">
        <x:v>DEF-P3-001</x:v>
      </x:c>
      <x:c r="B2" s="10" t="str">
        <x:v>Major</x:v>
      </x:c>
      <x:c r="C2" s="10" t="str">
        <x:v>TC-ACCESS-003</x:v>
      </x:c>
      <x:c r="D2" s="10" t="str">
        <x:v>PH3-20260810-033</x:v>
      </x:c>
      <x:c r="E2" s="10" t="str">
        <x:v>Fail</x:v>
      </x:c>
      <x:c r="F2" s="10" t="str">
        <x:v>Darkened component borders and added a two-color focus treatment.</x:v>
      </x:c>
      <x:c r="G2" s="10" t="str">
        <x:v>PH3-20260810-034: Pass</x:v>
      </x:c>
      <x:c r="H2" s="10" t="str">
        <x:v>PH12-20260810-001</x:v>
      </x:c>
      <x:c r="I2" s="10" t="str">
        <x:v>Component and text contrast confirmation</x:v>
      </x:c>
      <x:c r="J2" s="12" t="str">
        <x:v>Pass</x:v>
      </x:c>
      <x:c r="K2" s="12" t="str">
        <x:v>Closed</x:v>
      </x:c>
      <x:c r="L2" s="70" t="n">
        <x:v>1</x:v>
      </x:c>
    </x:row>
    <x:row r="3" ht="54" customHeight="1">
      <x:c r="A3" s="10" t="str">
        <x:v>DEF-P3-002</x:v>
      </x:c>
      <x:c r="B3" s="10" t="str">
        <x:v>Major</x:v>
      </x:c>
      <x:c r="C3" s="10" t="str">
        <x:v>TC-COMPAT-001</x:v>
      </x:c>
      <x:c r="D3" s="10" t="str">
        <x:v>PH3-20260810-035</x:v>
      </x:c>
      <x:c r="E3" s="10" t="str">
        <x:v>Fail</x:v>
      </x:c>
      <x:c r="F3" s="10" t="str">
        <x:v>Removed the page minimum-width constraint and corrected the narrow header layout.</x:v>
      </x:c>
      <x:c r="G3" s="10" t="str">
        <x:v>PH3-20260810-036: Pass</x:v>
      </x:c>
      <x:c r="H3" s="10" t="str">
        <x:v>PH12-20260810-002</x:v>
      </x:c>
      <x:c r="I3" s="10" t="str">
        <x:v>Responsive checks at 320, 760, and 1,280 pixels</x:v>
      </x:c>
      <x:c r="J3" s="12" t="str">
        <x:v>Pass</x:v>
      </x:c>
      <x:c r="K3" s="12" t="str">
        <x:v>Closed</x:v>
      </x:c>
      <x:c r="L3" s="70" t="n">
        <x:v>3</x:v>
      </x:c>
    </x:row>
    <x:row r="4" ht="54" customHeight="1">
      <x:c r="A4" s="10" t="str">
        <x:v>DEF-P8-001</x:v>
      </x:c>
      <x:c r="B4" s="10" t="str">
        <x:v>Major</x:v>
      </x:c>
      <x:c r="C4" s="10" t="str">
        <x:v>TC-ACCESS-002</x:v>
      </x:c>
      <x:c r="D4" s="10" t="str">
        <x:v>A11Y-004 and NVDA initial observation</x:v>
      </x:c>
      <x:c r="E4" s="10" t="str">
        <x:v>Fail</x:v>
      </x:c>
      <x:c r="F4" s="10" t="str">
        <x:v>Kept an atomic live region in the document before messages were populated.</x:v>
      </x:c>
      <x:c r="G4" s="10" t="str">
        <x:v>NVDA and PH8-20260810-001: Pass</x:v>
      </x:c>
      <x:c r="H4" s="10" t="str">
        <x:v>PH12-20260810-003</x:v>
      </x:c>
      <x:c r="I4" s="10" t="str">
        <x:v>Live-region role and atomicity confirmation</x:v>
      </x:c>
      <x:c r="J4" s="12" t="str">
        <x:v>Pass</x:v>
      </x:c>
      <x:c r="K4" s="12" t="str">
        <x:v>Closed</x:v>
      </x:c>
      <x:c r="L4" s="70" t="n">
        <x:v>1</x:v>
      </x:c>
    </x:row>
    <x:row r="5" ht="54" customHeight="1">
      <x:c r="A5" s="10" t="str">
        <x:v>DEF-P8-002</x:v>
      </x:c>
      <x:c r="B5" s="10" t="str">
        <x:v>Minor</x:v>
      </x:c>
      <x:c r="C5" s="10" t="str">
        <x:v>TC-ACCESS-002</x:v>
      </x:c>
      <x:c r="D5" s="10" t="str">
        <x:v>A11Y-005 and WAVE initial observation</x:v>
      </x:c>
      <x:c r="E5" s="10" t="str">
        <x:v>Fail</x:v>
      </x:c>
      <x:c r="F5" s="10" t="str">
        <x:v>Added explicit label and control associations.</x:v>
      </x:c>
      <x:c r="G5" s="10" t="str">
        <x:v>WAVE workspace retest: Pass</x:v>
      </x:c>
      <x:c r="H5" s="10" t="str">
        <x:v>PH12-20260810-004</x:v>
      </x:c>
      <x:c r="I5" s="10" t="str">
        <x:v>Accessible-name and heading-order confirmation</x:v>
      </x:c>
      <x:c r="J5" s="12" t="str">
        <x:v>Pass</x:v>
      </x:c>
      <x:c r="K5" s="12" t="str">
        <x:v>Closed</x:v>
      </x:c>
      <x:c r="L5" s="70" t="n">
        <x:v>1</x:v>
      </x:c>
    </x:row>
  </x:sheetData>
  <x:dataValidations count="2">
    <x:dataValidation type="list" sqref="J2:J5">
      <x:formula1>"Pass,Fail,Blocked,Not Run"</x:formula1>
    </x:dataValidation>
    <x:dataValidation type="list" sqref="K2:K5">
      <x:formula1>"Closed,Reopened"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68" hidden="0" customWidth="1"/>
    <x:col min="5" max="5" width="48" hidden="0" customWidth="1"/>
    <x:col min="6" max="6" width="16" hidden="0" customWidth="1"/>
    <x:col min="7" max="7" width="16" hidden="0" customWidth="1"/>
  </x:cols>
  <x:sheetData>
    <x:row r="1" ht="30" customHeight="1">
      <x:c r="A1" s="7" t="str">
        <x:v>Execution ID</x:v>
      </x:c>
      <x:c r="B1" s="7" t="str">
        <x:v>Test Case ID</x:v>
      </x:c>
      <x:c r="C1" s="7" t="str">
        <x:v>Risk Area</x:v>
      </x:c>
      <x:c r="D1" s="7" t="str">
        <x:v>Automated Check</x:v>
      </x:c>
      <x:c r="E1" s="7" t="str">
        <x:v>Actual Result</x:v>
      </x:c>
      <x:c r="F1" s="7" t="str">
        <x:v>Final Result</x:v>
      </x:c>
      <x:c r="G1" s="7" t="str">
        <x:v>Automated Checks</x:v>
      </x:c>
    </x:row>
    <x:row r="2" ht="42" customHeight="1">
      <x:c r="A2" s="10" t="str">
        <x:v>PH12-20260810-005</x:v>
      </x:c>
      <x:c r="B2" s="10" t="str">
        <x:v>TC-AUTH-004</x:v>
      </x:c>
      <x:c r="C2" s="10" t="str">
        <x:v>Authentication</x:v>
      </x:c>
      <x:c r="D2" s="10" t="str">
        <x:v>test_incorrect_password_does_not_create_session</x:v>
      </x:c>
      <x:c r="E2" s="10" t="str">
        <x:v>Incorrect credentials created no session.</x:v>
      </x:c>
      <x:c r="F2" s="12" t="str">
        <x:v>Pass</x:v>
      </x:c>
      <x:c r="G2" s="70" t="n">
        <x:v>1</x:v>
      </x:c>
    </x:row>
    <x:row r="3" ht="42" customHeight="1">
      <x:c r="A3" s="10" t="str">
        <x:v>PH12-20260810-006</x:v>
      </x:c>
      <x:c r="B3" s="10" t="str">
        <x:v>TC-TASK-001</x:v>
      </x:c>
      <x:c r="C3" s="10" t="str">
        <x:v>Task lifecycle</x:v>
      </x:c>
      <x:c r="D3" s="10" t="str">
        <x:v>test_member_task_lifecycle</x:v>
      </x:c>
      <x:c r="E3" s="10" t="str">
        <x:v>The member task lifecycle completed successfully.</x:v>
      </x:c>
      <x:c r="F3" s="12" t="str">
        <x:v>Pass</x:v>
      </x:c>
      <x:c r="G3" s="70" t="n">
        <x:v>1</x:v>
      </x:c>
    </x:row>
    <x:row r="4" ht="42" customHeight="1">
      <x:c r="A4" s="10" t="str">
        <x:v>PH12-20260810-007</x:v>
      </x:c>
      <x:c r="B4" s="10" t="str">
        <x:v>TC-TASK-002</x:v>
      </x:c>
      <x:c r="C4" s="10" t="str">
        <x:v>Validation feedback</x:v>
      </x:c>
      <x:c r="D4" s="10" t="str">
        <x:v>test_blank_task_title_is_rejected</x:v>
      </x:c>
      <x:c r="E4" s="10" t="str">
        <x:v>A blank task title was rejected with understandable feedback.</x:v>
      </x:c>
      <x:c r="F4" s="12" t="str">
        <x:v>Pass</x:v>
      </x:c>
      <x:c r="G4" s="70" t="n">
        <x:v>1</x:v>
      </x:c>
    </x:row>
    <x:row r="5" ht="42" customHeight="1">
      <x:c r="A5" s="10" t="str">
        <x:v>PH12-20260810-008</x:v>
      </x:c>
      <x:c r="B5" s="10" t="str">
        <x:v>TC-SEARCH-006</x:v>
      </x:c>
      <x:c r="C5" s="10" t="str">
        <x:v>Search and filter</x:v>
      </x:c>
      <x:c r="D5" s="10" t="str">
        <x:v>test_search_and_status_filter_apply_together</x:v>
      </x:c>
      <x:c r="E5" s="10" t="str">
        <x:v>Search and state filters applied together.</x:v>
      </x:c>
      <x:c r="F5" s="12" t="str">
        <x:v>Pass</x:v>
      </x:c>
      <x:c r="G5" s="70" t="n">
        <x:v>1</x:v>
      </x:c>
    </x:row>
    <x:row r="6" ht="42" customHeight="1">
      <x:c r="A6" s="10" t="str">
        <x:v>PH12-20260810-009</x:v>
      </x:c>
      <x:c r="B6" s="10" t="str">
        <x:v>TC-PROFILE-001</x:v>
      </x:c>
      <x:c r="C6" s="10" t="str">
        <x:v>Profile persistence</x:v>
      </x:c>
      <x:c r="D6" s="10" t="str">
        <x:v>test_profile_name_persists_across_sessions</x:v>
      </x:c>
      <x:c r="E6" s="10" t="str">
        <x:v>The updated display name persisted across sessions.</x:v>
      </x:c>
      <x:c r="F6" s="12" t="str">
        <x:v>Pass</x:v>
      </x:c>
      <x:c r="G6" s="70" t="n">
        <x:v>1</x:v>
      </x:c>
    </x:row>
    <x:row r="7" ht="42" customHeight="1">
      <x:c r="A7" s="10" t="str">
        <x:v>PH12-20260810-010</x:v>
      </x:c>
      <x:c r="B7" s="10" t="str">
        <x:v>TC-ADMIN-002</x:v>
      </x:c>
      <x:c r="C7" s="10" t="str">
        <x:v>Administrator authorization</x:v>
      </x:c>
      <x:c r="D7" s="10" t="str">
        <x:v>test_administrator_team_view_is_read_only_for_member_task</x:v>
      </x:c>
      <x:c r="E7" s="10" t="str">
        <x:v>The administrator team view remained read-only for another member's task.</x:v>
      </x:c>
      <x:c r="F7" s="12" t="str">
        <x:v>Pass</x:v>
      </x:c>
      <x:c r="G7" s="70" t="n">
        <x:v>1</x:v>
      </x:c>
    </x:row>
  </x:sheetData>
  <x:dataValidations count="1">
    <x:dataValidation type="list" sqref="F2:F7">
      <x:formula1>"Pass,Fail,Blocked,Not 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30" customHeight="1">
      <x:c r="A1" s="7" t="str">
        <x:v>Issue ID</x:v>
      </x:c>
      <x:c r="B1" s="7" t="str">
        <x:v>Classification</x:v>
      </x:c>
      <x:c r="C1" s="7" t="str">
        <x:v>Approved Baseline</x:v>
      </x:c>
      <x:c r="D1" s="7" t="str">
        <x:v>Product Change</x:v>
      </x:c>
      <x:c r="E1" s="7" t="str">
        <x:v>Retest Required</x:v>
      </x:c>
      <x:c r="F1" s="7" t="str">
        <x:v>Phase 12 Disposition</x:v>
      </x:c>
    </x:row>
    <x:row r="2" ht="52" customHeight="1">
      <x:c r="A2" s="10" t="str">
        <x:v>UAT-OBS-001</x:v>
      </x:c>
      <x:c r="B2" s="10" t="str">
        <x:v>Requirement misunderstanding</x:v>
      </x:c>
      <x:c r="C2" s="10" t="str">
        <x:v>Administrator team oversight is read-only.</x:v>
      </x:c>
      <x:c r="D2" s="71" t="str">
        <x:v>None</x:v>
      </x:c>
      <x:c r="E2" s="71" t="str">
        <x:v>No</x:v>
      </x:c>
      <x:c r="F2" s="10" t="str">
        <x:v>Approved behavior passed regression; this is not a defect retest.</x:v>
      </x:c>
    </x:row>
    <x:row r="3" ht="52" customHeight="1">
      <x:c r="A3" s="10" t="str">
        <x:v>UAT-ENH-001</x:v>
      </x:c>
      <x:c r="B3" s="10" t="str">
        <x:v>Enhancement request</x:v>
      </x:c>
      <x:c r="C3" s="10" t="str">
        <x:v>Tasks do not include due dates or priority.</x:v>
      </x:c>
      <x:c r="D3" s="71" t="str">
        <x:v>None</x:v>
      </x:c>
      <x:c r="E3" s="71" t="str">
        <x:v>No</x:v>
      </x:c>
      <x:c r="F3" s="10" t="str">
        <x:v>Linked to deferred ENH-002; change control would precede any future retest.</x:v>
      </x:c>
    </x:row>
  </x:sheetData>
  <x:dataValidations count="2">
    <x:dataValidation type="list" sqref="D2:D3">
      <x:formula1>"None,Approved"</x:formula1>
    </x:dataValidation>
    <x:dataValidation type="list" sqref="E2:E3">
      <x:formula1>"No,Yes"</x:formula1>
    </x:dataValidation>
  </x:dataValidations>
  <x:pageMargins left="0.7" right="0.7" top="0.75" bottom="0.75" header="0.3" footer="0.3"/>
</x:worksheet>
</file>