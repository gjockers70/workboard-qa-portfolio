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6cccdc9a24f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 Results" sheetId="1" r:id="Rb8d4bfabeb4b4678"/>
    <x:sheet xmlns:r="http://schemas.openxmlformats.org/officeDocument/2006/relationships" name="Traceability" sheetId="2" r:id="Red492f85c9f34e0c"/>
    <x:sheet xmlns:r="http://schemas.openxmlformats.org/officeDocument/2006/relationships" name="Summary" sheetId="3" r:id="Rdfa93a2bf4fe437e"/>
    <x:sheet xmlns:r="http://schemas.openxmlformats.org/officeDocument/2006/relationships" name="Issue Register" sheetId="4" r:id="Rfb070e34c45241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20"/>
      <x:color rgb="FFFFFFFF"/>
      <x:name val="Aptos Display"/>
    </x:font>
    <x:font>
      <x:b/>
      <x:sz val="11"/>
      <x:color rgb="FFFFFFFF"/>
      <x:name val="Carlito"/>
    </x:font>
    <x:font>
      <x:b/>
      <x:sz val="10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F8FB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5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1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4" fillId="2" borderId="2" xfId="0" applyNumberFormat="1" applyFont="1" applyFill="1" applyBorder="1"/>
    <x:xf numFmtId="0" fontId="0" fillId="4" borderId="2" xfId="0" applyNumberFormat="1" applyFont="1" applyFill="1" applyBorder="1"/>
    <x:xf numFmtId="200" fontId="0" fillId="5" borderId="2" xfId="0" applyNumberFormat="1" applyFont="1" applyFill="1" applyBorder="1"/>
    <x:xf numFmtId="0" fontId="0" fillId="5" borderId="2" xfId="0" applyNumberFormat="1" applyFont="1" applyFill="1" applyBorder="1"/>
    <x:xf numFmtId="0" fontId="4" fillId="2" borderId="3" xfId="0" applyNumberFormat="1" applyFont="1" applyFill="1" applyBorder="1"/>
    <x:xf numFmtId="0" fontId="0" fillId="4" borderId="3" xfId="0" applyNumberFormat="1" applyFont="1" applyFill="1" applyBorder="1"/>
    <x:xf numFmtId="200" fontId="0" fillId="5" borderId="3" xfId="0" applyNumberFormat="1" applyFont="1" applyFill="1" applyBorder="1"/>
    <x:xf numFmtId="0" fontId="0" fillId="5" borderId="3" xfId="0" applyNumberFormat="1" applyFont="1" applyFill="1" applyBorder="1"/>
    <x:xf numFmtId="0" fontId="0" fillId="6" borderId="2" xfId="0" applyNumberFormat="1" applyFont="1" applyFill="1" applyBorder="1"/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0" fontId="0" fillId="6" borderId="3" xfId="0" applyNumberFormat="1" applyFont="1" applyFill="1" applyBorder="1"/>
    <x:xf numFmtId="0" fontId="0" fillId="0" borderId="3" xfId="0" applyNumberFormat="1" applyFont="1" applyFill="1" applyBorder="1"/>
    <x:xf numFmtId="0" fontId="0" fillId="3" borderId="3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/>
    <x:xf numFmtId="0" fontId="1" fillId="4" borderId="2" xfId="0" applyNumberFormat="1" applyFont="1" applyFill="1" applyBorder="1"/>
    <x:xf numFmtId="200" fontId="1" fillId="5" borderId="2" xfId="0" applyNumberFormat="1" applyFont="1" applyFill="1" applyBorder="1"/>
    <x:xf numFmtId="0" fontId="1" fillId="6" borderId="2" xfId="0" applyNumberFormat="1" applyFont="1" applyFill="1" applyBorder="1"/>
    <x:xf numFmtId="0" fontId="1" fillId="0" borderId="2" xfId="0" applyNumberFormat="1" applyFont="1" applyFill="1" applyBorder="1"/>
    <x:xf numFmtId="0" fontId="1" fillId="3" borderId="2" xfId="0" applyNumberFormat="1" applyFont="1" applyFill="1" applyBorder="1"/>
    <x:xf numFmtId="0" fontId="1" fillId="5" borderId="2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/>
    <x:xf numFmtId="0" fontId="1" fillId="4" borderId="3" xfId="0" applyNumberFormat="1" applyFont="1" applyFill="1" applyBorder="1"/>
    <x:xf numFmtId="200" fontId="1" fillId="5" borderId="3" xfId="0" applyNumberFormat="1" applyFont="1" applyFill="1" applyBorder="1"/>
    <x:xf numFmtId="0" fontId="1" fillId="6" borderId="3" xfId="0" applyNumberFormat="1" applyFont="1" applyFill="1" applyBorder="1"/>
    <x:xf numFmtId="0" fontId="1" fillId="0" borderId="3" xfId="0" applyNumberFormat="1" applyFont="1" applyFill="1" applyBorder="1"/>
    <x:xf numFmtId="0" fontId="1" fillId="3" borderId="3" xfId="0" applyNumberFormat="1" applyFont="1" applyFill="1" applyBorder="1"/>
    <x:xf numFmtId="0" fontId="1" fillId="5" borderId="3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200" fontId="1" fillId="5" borderId="2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014636a094907" /><Relationship Type="http://schemas.openxmlformats.org/officeDocument/2006/relationships/theme" Target="/xl/theme/theme1.xml" Id="R098bdf9235304195" /><Relationship Type="http://schemas.openxmlformats.org/officeDocument/2006/relationships/sharedStrings" Target="/xl/sharedStrings.xml" Id="Refc2f62493e54e8b" /><Relationship Type="http://schemas.openxmlformats.org/officeDocument/2006/relationships/worksheet" Target="/xl/worksheets/sheet1.xml" Id="Rb8d4bfabeb4b4678" /><Relationship Type="http://schemas.openxmlformats.org/officeDocument/2006/relationships/worksheet" Target="/xl/worksheets/sheet2.xml" Id="Red492f85c9f34e0c" /><Relationship Type="http://schemas.openxmlformats.org/officeDocument/2006/relationships/worksheet" Target="/xl/worksheets/sheet3.xml" Id="Rdfa93a2bf4fe437e" /><Relationship Type="http://schemas.openxmlformats.org/officeDocument/2006/relationships/worksheet" Target="/xl/worksheets/sheet4.xml" Id="Rfb070e34c45241ff" /></Relationships>
</file>

<file path=xl/tables/table1.xml><?xml version="1.0" encoding="utf-8"?>
<x:table xmlns:x="http://schemas.openxmlformats.org/spreadsheetml/2006/main" id="1" name="UatScenarioResultsTable" displayName="UatScenarioResultsTable" ref="A1:J7" headerRowCount="1" totalsRowCount="0" totalsRowShown="0">
  <x:autoFilter ref="A1:J7"/>
  <x:tableColumns count="10">
    <x:tableColumn id="1" name="Scenario ID"/>
    <x:tableColumn id="2" name="Test Case ID"/>
    <x:tableColumn id="3" name="UAT Criterion ID"/>
    <x:tableColumn id="4" name="Participant Role"/>
    <x:tableColumn id="5" name="Expected Result"/>
    <x:tableColumn id="6" name="Actual Result"/>
    <x:tableColumn id="7" name="Issue ID"/>
    <x:tableColumn id="8" name="Classification"/>
    <x:tableColumn id="9" name="Final Result"/>
    <x:tableColumn id="10" name="Execution 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atTraceabilityTable" displayName="UatTraceabilityTable" ref="A1:K7" headerRowCount="1" totalsRowCount="0" totalsRowShown="0">
  <x:autoFilter ref="A1:K7"/>
  <x:tableColumns count="11">
    <x:tableColumn id="1" name="Requirement ID"/>
    <x:tableColumn id="2" name="User Story ID"/>
    <x:tableColumn id="3" name="Acceptance Criterion ID"/>
    <x:tableColumn id="4" name="UAT Criterion ID"/>
    <x:tableColumn id="5" name="UAT Scenario ID"/>
    <x:tableColumn id="6" name="Test Case ID"/>
    <x:tableColumn id="7" name="Automated Replay"/>
    <x:tableColumn id="8" name="Execution ID"/>
    <x:tableColumn id="9" name="Issue ID"/>
    <x:tableColumn id="10" name="Retest Status"/>
    <x:tableColumn id="11" name="Final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atIssueRegisterTable" displayName="UatIssueRegisterTable" ref="A1:H3" headerRowCount="1" totalsRowCount="0" totalsRowShown="0">
  <x:autoFilter ref="A1:H3"/>
  <x:tableColumns count="8">
    <x:tableColumn id="1" name="Issue ID"/>
    <x:tableColumn id="2" name="Scenario"/>
    <x:tableColumn id="3" name="Observation"/>
    <x:tableColumn id="4" name="Classification"/>
    <x:tableColumn id="5" name="Severity"/>
    <x:tableColumn id="6" name="Priority"/>
    <x:tableColumn id="7" name="Disposition"/>
    <x:tableColumn id="8" name="Retest Outco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WorkBoard">
  <a:themeElements>
    <a:clrScheme name="WorkBo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orkBoard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d7914832be45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581947f5b1743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c7a8f27997e41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0" hidden="0" customWidth="1"/>
    <x:col min="5" max="5" width="44" hidden="0" customWidth="1"/>
    <x:col min="6" max="6" width="54" hidden="0" customWidth="1"/>
    <x:col min="7" max="7" width="18" hidden="0" customWidth="1"/>
    <x:col min="8" max="8" width="30" hidden="0" customWidth="1"/>
    <x:col min="9" max="9" width="14" hidden="0" customWidth="1"/>
    <x:col min="10" max="10" width="22" hidden="0" customWidth="1"/>
  </x:cols>
  <x:sheetData>
    <x:row r="1" ht="15" hidden="0" customHeight="1">
      <x:c r="A1" s="14" t="str">
        <x:v>Scenario ID</x:v>
      </x:c>
      <x:c r="B1" s="14" t="str">
        <x:v>Test Case ID</x:v>
      </x:c>
      <x:c r="C1" s="14" t="str">
        <x:v>UAT Criterion ID</x:v>
      </x:c>
      <x:c r="D1" s="14" t="str">
        <x:v>Participant Role</x:v>
      </x:c>
      <x:c r="E1" s="14" t="str">
        <x:v>Expected Result</x:v>
      </x:c>
      <x:c r="F1" s="14" t="str">
        <x:v>Actual Result</x:v>
      </x:c>
      <x:c r="G1" s="14" t="str">
        <x:v>Issue ID</x:v>
      </x:c>
      <x:c r="H1" s="14" t="str">
        <x:v>Classification</x:v>
      </x:c>
      <x:c r="I1" s="14" t="str">
        <x:v>Final Result</x:v>
      </x:c>
      <x:c r="J1" s="14" t="str">
        <x:v>Execution ID</x:v>
      </x:c>
    </x:row>
    <x:row r="2" ht="24" hidden="0" customHeight="1">
      <x:c r="A2" s="16" t="str">
        <x:v>UAT-001</x:v>
      </x:c>
      <x:c r="B2" s="16" t="str">
        <x:v>TC-UAT-001</x:v>
      </x:c>
      <x:c r="C2" s="16" t="str">
        <x:v>UAT-AC-001</x:v>
      </x:c>
      <x:c r="D2" s="16" t="str">
        <x:v>Simulated operations coordinator</x:v>
      </x:c>
      <x:c r="E2" s="16" t="str">
        <x:v>Member workspace opens with understandable identity and role.</x:v>
      </x:c>
      <x:c r="F2" s="16" t="str">
        <x:v>Workspace opened and displayed the synthetic member identity and role.</x:v>
      </x:c>
      <x:c r="G2" s="16" t="str"/>
      <x:c r="H2" s="16" t="str">
        <x:v>None</x:v>
      </x:c>
      <x:c r="I2" s="16" t="str">
        <x:v>Pass</x:v>
      </x:c>
      <x:c r="J2" s="16" t="str">
        <x:v>PH11-20260810-001</x:v>
      </x:c>
    </x:row>
    <x:row r="3" ht="24" hidden="0" customHeight="1">
      <x:c r="A3" s="8" t="str">
        <x:v>UAT-002</x:v>
      </x:c>
      <x:c r="B3" s="8" t="str">
        <x:v>TC-UAT-002</x:v>
      </x:c>
      <x:c r="C3" s="8" t="str">
        <x:v>UAT-AC-002</x:v>
      </x:c>
      <x:c r="D3" s="8" t="str">
        <x:v>Simulated operations coordinator</x:v>
      </x:c>
      <x:c r="E3" s="8" t="str">
        <x:v>Profile and normal task lifecycle persist with clear feedback.</x:v>
      </x:c>
      <x:c r="F3" s="8" t="str">
        <x:v>Profile and task lifecycle completed; due dates and priority were requested as future behavior.</x:v>
      </x:c>
      <x:c r="G3" s="8" t="str">
        <x:v>UAT-ENH-001</x:v>
      </x:c>
      <x:c r="H3" s="8" t="str">
        <x:v>Enhancement request</x:v>
      </x:c>
      <x:c r="I3" s="8" t="str">
        <x:v>Pass</x:v>
      </x:c>
      <x:c r="J3" s="8" t="str">
        <x:v>PH11-20260810-002</x:v>
      </x:c>
    </x:row>
    <x:row r="4" ht="24" hidden="0" customHeight="1">
      <x:c r="A4" s="16" t="str">
        <x:v>UAT-003</x:v>
      </x:c>
      <x:c r="B4" s="16" t="str">
        <x:v>TC-UAT-003</x:v>
      </x:c>
      <x:c r="C4" s="16" t="str">
        <x:v>UAT-AC-003</x:v>
      </x:c>
      <x:c r="D4" s="16" t="str">
        <x:v>Simulated operations coordinator</x:v>
      </x:c>
      <x:c r="E4" s="16" t="str">
        <x:v>Search and state filters return only work matching both conditions.</x:v>
      </x:c>
      <x:c r="F4" s="16" t="str">
        <x:v>Combined search and state filtering returned the expected personal tasks.</x:v>
      </x:c>
      <x:c r="G4" s="16" t="str"/>
      <x:c r="H4" s="16" t="str">
        <x:v>None</x:v>
      </x:c>
      <x:c r="I4" s="16" t="str">
        <x:v>Pass</x:v>
      </x:c>
      <x:c r="J4" s="16" t="str">
        <x:v>PH11-20260810-003</x:v>
      </x:c>
    </x:row>
    <x:row r="5" ht="24" hidden="0" customHeight="1">
      <x:c r="A5" s="8" t="str">
        <x:v>UAT-004</x:v>
      </x:c>
      <x:c r="B5" s="8" t="str">
        <x:v>TC-UAT-004</x:v>
      </x:c>
      <x:c r="C5" s="8" t="str">
        <x:v>UAT-AC-004</x:v>
      </x:c>
      <x:c r="D5" s="8" t="str">
        <x:v>Simulated operations coordinator</x:v>
      </x:c>
      <x:c r="E5" s="8" t="str">
        <x:v>Refresh preserves the valid session without repeating a task action.</x:v>
      </x:c>
      <x:c r="F5" s="8" t="str">
        <x:v>Session remained valid and the uniquely named task appeared exactly once.</x:v>
      </x:c>
      <x:c r="G5" s="8" t="str"/>
      <x:c r="H5" s="8" t="str">
        <x:v>None</x:v>
      </x:c>
      <x:c r="I5" s="8" t="str">
        <x:v>Pass</x:v>
      </x:c>
      <x:c r="J5" s="8" t="str">
        <x:v>PH11-20260810-004</x:v>
      </x:c>
    </x:row>
    <x:row r="6" ht="24" hidden="0" customHeight="1">
      <x:c r="A6" s="16" t="str">
        <x:v>UAT-005</x:v>
      </x:c>
      <x:c r="B6" s="16" t="str">
        <x:v>TC-UAT-005</x:v>
      </x:c>
      <x:c r="C6" s="16" t="str">
        <x:v>UAT-AC-005</x:v>
      </x:c>
      <x:c r="D6" s="16" t="str">
        <x:v>Simulated operations coordinator</x:v>
      </x:c>
      <x:c r="E6" s="16" t="str">
        <x:v>Administrator identifies owners and cannot mutate another member's task.</x:v>
      </x:c>
      <x:c r="F6" s="16" t="str">
        <x:v>Owner was visible and the team task had no mutation controls; initial reprioritization expectation was clarified.</x:v>
      </x:c>
      <x:c r="G6" s="16" t="str">
        <x:v>UAT-OBS-001</x:v>
      </x:c>
      <x:c r="H6" s="16" t="str">
        <x:v>Requirement misunderstanding</x:v>
      </x:c>
      <x:c r="I6" s="16" t="str">
        <x:v>Pass</x:v>
      </x:c>
      <x:c r="J6" s="16" t="str">
        <x:v>PH11-20260810-005</x:v>
      </x:c>
    </x:row>
    <x:row r="7" ht="24" hidden="0" customHeight="1">
      <x:c r="A7" s="8" t="str">
        <x:v>UAT-006</x:v>
      </x:c>
      <x:c r="B7" s="8" t="str">
        <x:v>TC-UAT-006</x:v>
      </x:c>
      <x:c r="C7" s="8" t="str">
        <x:v>UAT-AC-006</x:v>
      </x:c>
      <x:c r="D7" s="8" t="str">
        <x:v>Simulated operations coordinator</x:v>
      </x:c>
      <x:c r="E7" s="8" t="str">
        <x:v>Sign-out returns to sign-in and refresh does not reopen the workspace.</x:v>
      </x:c>
      <x:c r="F7" s="8" t="str">
        <x:v>Sign-in remained displayed after sign-out and refresh.</x:v>
      </x:c>
      <x:c r="G7" s="8" t="str"/>
      <x:c r="H7" s="8" t="str">
        <x:v>None</x:v>
      </x:c>
      <x:c r="I7" s="8" t="str">
        <x:v>Pass</x:v>
      </x:c>
      <x:c r="J7" s="8" t="str">
        <x:v>PH11-20260810-006</x:v>
      </x:c>
    </x:row>
  </x:sheetData>
  <x:dataValidations count="1">
    <x:dataValidation type="list" sqref="I2:I7">
      <x:formula1>"Pass,Fail,Blocked,Not Run"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1d7914832be45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4" hidden="0" customWidth="1"/>
    <x:col min="3" max="3" width="54" hidden="0" customWidth="1"/>
    <x:col min="4" max="4" width="18" hidden="0" customWidth="1"/>
    <x:col min="5" max="5" width="18" hidden="0" customWidth="1"/>
    <x:col min="6" max="6" width="20" hidden="0" customWidth="1"/>
    <x:col min="7" max="7" width="62" hidden="0" customWidth="1"/>
    <x:col min="8" max="8" width="22" hidden="0" customWidth="1"/>
    <x:col min="9" max="9" width="18" hidden="0" customWidth="1"/>
    <x:col min="10" max="10" width="22" hidden="0" customWidth="1"/>
    <x:col min="11" max="11" width="32" hidden="0" customWidth="1"/>
  </x:cols>
  <x:sheetData>
    <x:row r="1" ht="15" hidden="0" customHeight="1">
      <x:c r="A1" s="14" t="str">
        <x:v>Requirement ID</x:v>
      </x:c>
      <x:c r="B1" s="14" t="str">
        <x:v>User Story ID</x:v>
      </x:c>
      <x:c r="C1" s="14" t="str">
        <x:v>Acceptance Criterion ID</x:v>
      </x:c>
      <x:c r="D1" s="14" t="str">
        <x:v>UAT Criterion ID</x:v>
      </x:c>
      <x:c r="E1" s="14" t="str">
        <x:v>UAT Scenario ID</x:v>
      </x:c>
      <x:c r="F1" s="14" t="str">
        <x:v>Test Case ID</x:v>
      </x:c>
      <x:c r="G1" s="14" t="str">
        <x:v>Automated Replay</x:v>
      </x:c>
      <x:c r="H1" s="14" t="str">
        <x:v>Execution ID</x:v>
      </x:c>
      <x:c r="I1" s="14" t="str">
        <x:v>Issue ID</x:v>
      </x:c>
      <x:c r="J1" s="14" t="str">
        <x:v>Retest Status</x:v>
      </x:c>
      <x:c r="K1" s="14" t="str">
        <x:v>Final Status</x:v>
      </x:c>
    </x:row>
    <x:row r="2" ht="15" hidden="0" customHeight="1">
      <x:c r="A2" s="16" t="str">
        <x:v>FR-AUTH-001</x:v>
      </x:c>
      <x:c r="B2" s="16" t="str">
        <x:v>US-001</x:v>
      </x:c>
      <x:c r="C2" s="16" t="str">
        <x:v>AC-US001-01</x:v>
      </x:c>
      <x:c r="D2" s="16" t="str">
        <x:v>UAT-AC-001</x:v>
      </x:c>
      <x:c r="E2" s="16" t="str">
        <x:v>UAT-001</x:v>
      </x:c>
      <x:c r="F2" s="16" t="str">
        <x:v>TC-UAT-001</x:v>
      </x:c>
      <x:c r="G2" s="16" t="str">
        <x:v>tests/uat/test_uat_browser_replay.py::test_member_business_workflow_replay</x:v>
      </x:c>
      <x:c r="H2" s="16" t="str">
        <x:v>PH11-20260810-001</x:v>
      </x:c>
      <x:c r="I2" s="16" t="str"/>
      <x:c r="J2" s="16" t="str">
        <x:v>Not required</x:v>
      </x:c>
      <x:c r="K2" s="16" t="str">
        <x:v>Accepted</x:v>
      </x:c>
    </x:row>
    <x:row r="3" ht="24" hidden="0" customHeight="1">
      <x:c r="A3" s="8" t="str">
        <x:v>FR-TASK-001; FR-TASK-003; FR-TASK-004; FR-TASK-005; FR-PROFILE-001</x:v>
      </x:c>
      <x:c r="B3" s="8" t="str">
        <x:v>US-003; US-005</x:v>
      </x:c>
      <x:c r="C3" s="8" t="str">
        <x:v>AC-US003-01; AC-US003-04; AC-US003-05; AC-US003-06; AC-US003-07; AC-US003-08; AC-US003-09; AC-US005-02; AC-US005-03</x:v>
      </x:c>
      <x:c r="D3" s="8" t="str">
        <x:v>UAT-AC-002</x:v>
      </x:c>
      <x:c r="E3" s="8" t="str">
        <x:v>UAT-002</x:v>
      </x:c>
      <x:c r="F3" s="8" t="str">
        <x:v>TC-UAT-002</x:v>
      </x:c>
      <x:c r="G3" s="8" t="str">
        <x:v>tests/uat/test_uat_browser_replay.py::test_member_business_workflow_replay</x:v>
      </x:c>
      <x:c r="H3" s="8" t="str">
        <x:v>PH11-20260810-002</x:v>
      </x:c>
      <x:c r="I3" s="8" t="str">
        <x:v>UAT-ENH-001</x:v>
      </x:c>
      <x:c r="J3" s="8" t="str">
        <x:v>Not required</x:v>
      </x:c>
      <x:c r="K3" s="8" t="str">
        <x:v>Accepted; enhancement deferred</x:v>
      </x:c>
    </x:row>
    <x:row r="4" ht="15" hidden="0" customHeight="1">
      <x:c r="A4" s="16" t="str">
        <x:v>FR-TASK-006</x:v>
      </x:c>
      <x:c r="B4" s="16" t="str">
        <x:v>US-004</x:v>
      </x:c>
      <x:c r="C4" s="16" t="str">
        <x:v>AC-US004-01; AC-US004-03; AC-US004-04; AC-US004-05; AC-US004-06</x:v>
      </x:c>
      <x:c r="D4" s="16" t="str">
        <x:v>UAT-AC-003</x:v>
      </x:c>
      <x:c r="E4" s="16" t="str">
        <x:v>UAT-003</x:v>
      </x:c>
      <x:c r="F4" s="16" t="str">
        <x:v>TC-UAT-003</x:v>
      </x:c>
      <x:c r="G4" s="16" t="str">
        <x:v>tests/uat/test_uat_browser_replay.py::test_member_business_workflow_replay</x:v>
      </x:c>
      <x:c r="H4" s="16" t="str">
        <x:v>PH11-20260810-003</x:v>
      </x:c>
      <x:c r="I4" s="16" t="str"/>
      <x:c r="J4" s="16" t="str">
        <x:v>Not required</x:v>
      </x:c>
      <x:c r="K4" s="16" t="str">
        <x:v>Accepted</x:v>
      </x:c>
    </x:row>
    <x:row r="5" ht="15" hidden="0" customHeight="1">
      <x:c r="A5" s="8" t="str">
        <x:v>NFR-REL-001</x:v>
      </x:c>
      <x:c r="B5" s="8" t="str">
        <x:v>US-002; US-009</x:v>
      </x:c>
      <x:c r="C5" s="8" t="str">
        <x:v>AC-US002-04; AC-US009-01</x:v>
      </x:c>
      <x:c r="D5" s="8" t="str">
        <x:v>UAT-AC-004</x:v>
      </x:c>
      <x:c r="E5" s="8" t="str">
        <x:v>UAT-004</x:v>
      </x:c>
      <x:c r="F5" s="8" t="str">
        <x:v>TC-UAT-004</x:v>
      </x:c>
      <x:c r="G5" s="8" t="str">
        <x:v>tests/uat/test_uat_browser_replay.py::test_member_business_workflow_replay</x:v>
      </x:c>
      <x:c r="H5" s="8" t="str">
        <x:v>PH11-20260810-004</x:v>
      </x:c>
      <x:c r="I5" s="8" t="str"/>
      <x:c r="J5" s="8" t="str">
        <x:v>Not required</x:v>
      </x:c>
      <x:c r="K5" s="8" t="str">
        <x:v>Accepted</x:v>
      </x:c>
    </x:row>
    <x:row r="6" ht="15" hidden="0" customHeight="1">
      <x:c r="A6" s="16" t="str">
        <x:v>FR-ADMIN-001; FR-ADMIN-002</x:v>
      </x:c>
      <x:c r="B6" s="16" t="str">
        <x:v>US-006</x:v>
      </x:c>
      <x:c r="C6" s="16" t="str">
        <x:v>AC-US006-01; AC-US006-02; AC-US006-05</x:v>
      </x:c>
      <x:c r="D6" s="16" t="str">
        <x:v>UAT-AC-005</x:v>
      </x:c>
      <x:c r="E6" s="16" t="str">
        <x:v>UAT-005</x:v>
      </x:c>
      <x:c r="F6" s="16" t="str">
        <x:v>TC-UAT-005</x:v>
      </x:c>
      <x:c r="G6" s="16" t="str">
        <x:v>tests/uat/test_uat_browser_replay.py::test_administrator_business_workflow_replay</x:v>
      </x:c>
      <x:c r="H6" s="16" t="str">
        <x:v>PH11-20260810-005</x:v>
      </x:c>
      <x:c r="I6" s="16" t="str">
        <x:v>UAT-OBS-001</x:v>
      </x:c>
      <x:c r="J6" s="16" t="str">
        <x:v>Not required</x:v>
      </x:c>
      <x:c r="K6" s="16" t="str">
        <x:v>Accepted; requirement clarified</x:v>
      </x:c>
    </x:row>
    <x:row r="7" ht="15" hidden="0" customHeight="1">
      <x:c r="A7" s="8" t="str">
        <x:v>FR-AUTH-003</x:v>
      </x:c>
      <x:c r="B7" s="8" t="str">
        <x:v>US-002</x:v>
      </x:c>
      <x:c r="C7" s="8" t="str">
        <x:v>AC-US002-01</x:v>
      </x:c>
      <x:c r="D7" s="8" t="str">
        <x:v>UAT-AC-006</x:v>
      </x:c>
      <x:c r="E7" s="8" t="str">
        <x:v>UAT-006</x:v>
      </x:c>
      <x:c r="F7" s="8" t="str">
        <x:v>TC-UAT-006</x:v>
      </x:c>
      <x:c r="G7" s="8" t="str">
        <x:v>tests/uat/test_uat_browser_replay.py::test_member_business_workflow_replay</x:v>
      </x:c>
      <x:c r="H7" s="8" t="str">
        <x:v>PH11-20260810-006</x:v>
      </x:c>
      <x:c r="I7" s="8" t="str"/>
      <x:c r="J7" s="8" t="str">
        <x:v>Not required</x:v>
      </x:c>
      <x:c r="K7" s="8" t="str">
        <x:v>Accepted</x:v>
      </x:c>
    </x:row>
  </x:sheetData>
  <x:pageMargins left="0.7" right="0.7" top="0.75" bottom="0.75" header="0.3" footer="0.3"/>
  <x:tableParts count="1">
    <x:tablePart xmlns:r="http://schemas.openxmlformats.org/officeDocument/2006/relationships" r:id="R8581947f5b1743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8" hidden="0" customWidth="1"/>
    <x:col min="3" max="3" width="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68" t="str">
        <x:v>WorkBoard Phase 11 Simulated UAT Register</x:v>
      </x:c>
      <x:c r="B1" s="68" t="str">
        <x:v>WorkBoard Phase 11 Simulated UAT Register</x:v>
      </x:c>
      <x:c r="C1" s="68" t="str">
        <x:v>WorkBoard Phase 11 Simulated UAT Register</x:v>
      </x:c>
      <x:c r="D1" s="68" t="str">
        <x:v>WorkBoard Phase 11 Simulated UAT Register</x:v>
      </x:c>
      <x:c r="E1" s="68" t="str">
        <x:v>WorkBoard Phase 11 Simulated UAT Register</x:v>
      </x:c>
      <x:c r="F1" s="68" t="str">
        <x:v>WorkBoard Phase 11 Simulated UAT Register</x:v>
      </x:c>
    </x:row>
    <x:row r="2">
      <x:c r="A2" s="68" t="str">
        <x:v>WorkBoard Phase 11 Simulated UAT Register</x:v>
      </x:c>
      <x:c r="B2" s="68" t="str">
        <x:v>WorkBoard Phase 11 Simulated UAT Register</x:v>
      </x:c>
      <x:c r="C2" s="68" t="str">
        <x:v>WorkBoard Phase 11 Simulated UAT Register</x:v>
      </x:c>
      <x:c r="D2" s="68" t="str">
        <x:v>WorkBoard Phase 11 Simulated UAT Register</x:v>
      </x:c>
      <x:c r="E2" s="68" t="str">
        <x:v>WorkBoard Phase 11 Simulated UAT Register</x:v>
      </x:c>
      <x:c r="F2" s="68" t="str">
        <x:v>WorkBoard Phase 11 Simulated UAT Register</x:v>
      </x:c>
    </x:row>
    <x:row r="3" ht="15" hidden="0" customHeight="1">
      <x:c r="A3" s="69"/>
      <x:c r="B3" s="69"/>
      <x:c r="C3" s="69"/>
      <x:c r="D3" s="69"/>
      <x:c r="E3" s="69"/>
      <x:c r="F3" s="69"/>
    </x:row>
    <x:row r="4" ht="15" hidden="0" customHeight="1">
      <x:c r="A4" s="70" t="str">
        <x:v>Measure</x:v>
      </x:c>
      <x:c r="B4" s="70" t="str">
        <x:v>Value</x:v>
      </x:c>
      <x:c r="C4" s="69"/>
      <x:c r="D4" s="70" t="str">
        <x:v>Participation boundary</x:v>
      </x:c>
      <x:c r="E4" s="70" t="str">
        <x:v>Participation boundary</x:v>
      </x:c>
      <x:c r="F4" s="70" t="str">
        <x:v>Participation boundary</x:v>
      </x:c>
    </x:row>
    <x:row r="5" ht="15" hidden="0" customHeight="1">
      <x:c r="A5" s="71" t="str">
        <x:v>Planned scenarios</x:v>
      </x:c>
      <x:c r="B5" s="72" t="n">
        <x:f>COUNTA('Scenario Results'!A2:A7)</x:f>
        <x:v>6</x:v>
      </x:c>
      <x:c r="C5" s="69"/>
      <x:c r="D5" s="73" t="str">
        <x:v>Disclosed single-person role-play using a simulated operations-coordinator persona. No external client participated, and this workbook is not a real client sign-off.</x:v>
      </x:c>
      <x:c r="E5" s="73" t="str">
        <x:v>Disclosed single-person role-play using a simulated operations-coordinator persona. No external client participated, and this workbook is not a real client sign-off.</x:v>
      </x:c>
      <x:c r="F5" s="73" t="str">
        <x:v>Disclosed single-person role-play using a simulated operations-coordinator persona. No external client participated, and this workbook is not a real client sign-off.</x:v>
      </x:c>
    </x:row>
    <x:row r="6" ht="15" hidden="0" customHeight="1">
      <x:c r="A6" s="71" t="str">
        <x:v>Passed</x:v>
      </x:c>
      <x:c r="B6" s="72" t="n">
        <x:f>COUNTIF('Scenario Results'!I2:I7,"Pass")</x:f>
        <x:v>6</x:v>
      </x:c>
      <x:c r="C6" s="69"/>
      <x:c r="D6" s="73" t="str">
        <x:v>Disclosed single-person role-play using a simulated operations-coordinator persona. No external client participated, and this workbook is not a real client sign-off.</x:v>
      </x:c>
      <x:c r="E6" s="73" t="str">
        <x:v>Disclosed single-person role-play using a simulated operations-coordinator persona. No external client participated, and this workbook is not a real client sign-off.</x:v>
      </x:c>
      <x:c r="F6" s="73" t="str">
        <x:v>Disclosed single-person role-play using a simulated operations-coordinator persona. No external client participated, and this workbook is not a real client sign-off.</x:v>
      </x:c>
    </x:row>
    <x:row r="7" ht="15" hidden="0" customHeight="1">
      <x:c r="A7" s="71" t="str">
        <x:v>Failed</x:v>
      </x:c>
      <x:c r="B7" s="72" t="n">
        <x:f>COUNTIF('Scenario Results'!I2:I7,"Fail")</x:f>
        <x:v>0</x:v>
      </x:c>
      <x:c r="C7" s="69"/>
      <x:c r="D7" s="73" t="str">
        <x:v>Disclosed single-person role-play using a simulated operations-coordinator persona. No external client participated, and this workbook is not a real client sign-off.</x:v>
      </x:c>
      <x:c r="E7" s="73" t="str">
        <x:v>Disclosed single-person role-play using a simulated operations-coordinator persona. No external client participated, and this workbook is not a real client sign-off.</x:v>
      </x:c>
      <x:c r="F7" s="73" t="str">
        <x:v>Disclosed single-person role-play using a simulated operations-coordinator persona. No external client participated, and this workbook is not a real client sign-off.</x:v>
      </x:c>
    </x:row>
    <x:row r="8" ht="15" hidden="0" customHeight="1">
      <x:c r="A8" s="71" t="str">
        <x:v>Blocked</x:v>
      </x:c>
      <x:c r="B8" s="72" t="n">
        <x:f>COUNTIF('Scenario Results'!I2:I7,"Blocked")</x:f>
        <x:v>0</x:v>
      </x:c>
      <x:c r="C8" s="69"/>
      <x:c r="D8" s="73" t="str">
        <x:v>Disclosed single-person role-play using a simulated operations-coordinator persona. No external client participated, and this workbook is not a real client sign-off.</x:v>
      </x:c>
      <x:c r="E8" s="73" t="str">
        <x:v>Disclosed single-person role-play using a simulated operations-coordinator persona. No external client participated, and this workbook is not a real client sign-off.</x:v>
      </x:c>
      <x:c r="F8" s="73" t="str">
        <x:v>Disclosed single-person role-play using a simulated operations-coordinator persona. No external client participated, and this workbook is not a real client sign-off.</x:v>
      </x:c>
    </x:row>
    <x:row r="9" ht="15" hidden="0" customHeight="1">
      <x:c r="A9" s="71" t="str">
        <x:v>Not run</x:v>
      </x:c>
      <x:c r="B9" s="72" t="n">
        <x:f>COUNTIF('Scenario Results'!I2:I7,"Not Run")</x:f>
        <x:v>0</x:v>
      </x:c>
      <x:c r="C9" s="69"/>
      <x:c r="D9" s="74"/>
      <x:c r="E9" s="74"/>
      <x:c r="F9" s="74"/>
    </x:row>
    <x:row r="10" ht="15" hidden="0" customHeight="1">
      <x:c r="A10" s="71" t="str">
        <x:v>Confirmed defects</x:v>
      </x:c>
      <x:c r="B10" s="72" t="n">
        <x:f>COUNTIF('Issue Register'!D2:D3,"Defect")</x:f>
        <x:v>0</x:v>
      </x:c>
      <x:c r="C10" s="69"/>
      <x:c r="D10" s="70" t="str">
        <x:v>Decision boundary</x:v>
      </x:c>
      <x:c r="E10" s="70" t="str">
        <x:v>Decision boundary</x:v>
      </x:c>
      <x:c r="F10" s="70" t="str">
        <x:v>Decision boundary</x:v>
      </x:c>
    </x:row>
    <x:row r="11" ht="15" hidden="0" customHeight="1">
      <x:c r="A11" s="71" t="str">
        <x:v>Requirement misunderstandings</x:v>
      </x:c>
      <x:c r="B11" s="72" t="n">
        <x:f>COUNTIF('Issue Register'!D2:D3,"Requirement misunderstanding")</x:f>
        <x:v>1</x:v>
      </x:c>
      <x:c r="C11" s="69"/>
      <x:c r="D11" s="75" t="str">
        <x:v>All six scenarios passed. UAT-OBS-001 is a clarified requirement misunderstanding; UAT-ENH-001 is a deferred enhancement. Final release readiness remains not evaluated.</x:v>
      </x:c>
      <x:c r="E11" s="75" t="str">
        <x:v>All six scenarios passed. UAT-OBS-001 is a clarified requirement misunderstanding; UAT-ENH-001 is a deferred enhancement. Final release readiness remains not evaluated.</x:v>
      </x:c>
      <x:c r="F11" s="75" t="str">
        <x:v>All six scenarios passed. UAT-OBS-001 is a clarified requirement misunderstanding; UAT-ENH-001 is a deferred enhancement. Final release readiness remains not evaluated.</x:v>
      </x:c>
    </x:row>
    <x:row r="12" ht="15" hidden="0" customHeight="1">
      <x:c r="A12" s="71" t="str">
        <x:v>Enhancement requests</x:v>
      </x:c>
      <x:c r="B12" s="72" t="n">
        <x:f>COUNTIF('Issue Register'!D2:D3,"Enhancement request")</x:f>
        <x:v>1</x:v>
      </x:c>
      <x:c r="C12" s="69"/>
      <x:c r="D12" s="75" t="str">
        <x:v>All six scenarios passed. UAT-OBS-001 is a clarified requirement misunderstanding; UAT-ENH-001 is a deferred enhancement. Final release readiness remains not evaluated.</x:v>
      </x:c>
      <x:c r="E12" s="75" t="str">
        <x:v>All six scenarios passed. UAT-OBS-001 is a clarified requirement misunderstanding; UAT-ENH-001 is a deferred enhancement. Final release readiness remains not evaluated.</x:v>
      </x:c>
      <x:c r="F12" s="75" t="str">
        <x:v>All six scenarios passed. UAT-OBS-001 is a clarified requirement misunderstanding; UAT-ENH-001 is a deferred enhancement. Final release readiness remains not evaluated.</x:v>
      </x:c>
    </x:row>
    <x:row r="13" ht="15" hidden="0" customHeight="1">
      <x:c r="A13" s="71" t="str">
        <x:v>Acceptance decision</x:v>
      </x:c>
      <x:c r="B13" s="76" t="str">
        <x:f>IF(AND(B6=B5,B7=0,B8=0,B10=0),"Accept with documented deferred enhancement","Do not accept")</x:f>
        <x:v>Accept with documented deferred enhancement</x:v>
      </x:c>
      <x:c r="C13" s="69"/>
      <x:c r="D13" s="75" t="str">
        <x:v>All six scenarios passed. UAT-OBS-001 is a clarified requirement misunderstanding; UAT-ENH-001 is a deferred enhancement. Final release readiness remains not evaluated.</x:v>
      </x:c>
      <x:c r="E13" s="75" t="str">
        <x:v>All six scenarios passed. UAT-OBS-001 is a clarified requirement misunderstanding; UAT-ENH-001 is a deferred enhancement. Final release readiness remains not evaluated.</x:v>
      </x:c>
      <x:c r="F13" s="75" t="str">
        <x:v>All six scenarios passed. UAT-OBS-001 is a clarified requirement misunderstanding; UAT-ENH-001 is a deferred enhancement. Final release readiness remains not evaluated.</x:v>
      </x:c>
    </x:row>
  </x:sheetData>
  <x:mergeCells>
    <x:mergeCell ref="A1:F2"/>
    <x:mergeCell ref="D4:F4"/>
    <x:mergeCell ref="D5:F8"/>
    <x:mergeCell ref="D10:F10"/>
    <x:mergeCell ref="D11:F1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54" hidden="0" customWidth="1"/>
    <x:col min="4" max="4" width="32" hidden="0" customWidth="1"/>
    <x:col min="5" max="5" width="18" hidden="0" customWidth="1"/>
    <x:col min="6" max="6" width="14" hidden="0" customWidth="1"/>
    <x:col min="7" max="7" width="48" hidden="0" customWidth="1"/>
    <x:col min="8" max="8" width="48" hidden="0" customWidth="1"/>
  </x:cols>
  <x:sheetData>
    <x:row r="1" ht="15" hidden="0" customHeight="1">
      <x:c r="A1" s="14" t="str">
        <x:v>Issue ID</x:v>
      </x:c>
      <x:c r="B1" s="14" t="str">
        <x:v>Scenario</x:v>
      </x:c>
      <x:c r="C1" s="14" t="str">
        <x:v>Observation</x:v>
      </x:c>
      <x:c r="D1" s="14" t="str">
        <x:v>Classification</x:v>
      </x:c>
      <x:c r="E1" s="14" t="str">
        <x:v>Severity</x:v>
      </x:c>
      <x:c r="F1" s="14" t="str">
        <x:v>Priority</x:v>
      </x:c>
      <x:c r="G1" s="14" t="str">
        <x:v>Disposition</x:v>
      </x:c>
      <x:c r="H1" s="14" t="str">
        <x:v>Retest Outcome</x:v>
      </x:c>
    </x:row>
    <x:row r="2" ht="24" hidden="0" customHeight="1">
      <x:c r="A2" s="16" t="str">
        <x:v>UAT-OBS-001</x:v>
      </x:c>
      <x:c r="B2" s="16" t="str">
        <x:v>UAT-005</x:v>
      </x:c>
      <x:c r="C2" s="16" t="str">
        <x:v>The participant initially expected team oversight to allow reprioritizing another member task.</x:v>
      </x:c>
      <x:c r="D2" s="16" t="str">
        <x:v>Requirement misunderstanding</x:v>
      </x:c>
      <x:c r="E2" s="16" t="str">
        <x:v>Not applicable</x:v>
      </x:c>
      <x:c r="F2" s="16" t="str">
        <x:v>Low</x:v>
      </x:c>
      <x:c r="G2" s="16" t="str">
        <x:v>Approved read-only scope clarified after the attempt.</x:v>
      </x:c>
      <x:c r="H2" s="16" t="str">
        <x:v>Not required; approved behavior confirmed.</x:v>
      </x:c>
    </x:row>
    <x:row r="3" ht="24" hidden="0" customHeight="1">
      <x:c r="A3" s="8" t="str">
        <x:v>UAT-ENH-001</x:v>
      </x:c>
      <x:c r="B3" s="8" t="str">
        <x:v>UAT-002</x:v>
      </x:c>
      <x:c r="C3" s="8" t="str">
        <x:v>The participant requested due dates and priority values for personal tasks.</x:v>
      </x:c>
      <x:c r="D3" s="8" t="str">
        <x:v>Enhancement request</x:v>
      </x:c>
      <x:c r="E3" s="8" t="str">
        <x:v>Not applicable</x:v>
      </x:c>
      <x:c r="F3" s="8" t="str">
        <x:v>Medium</x:v>
      </x:c>
      <x:c r="G3" s="8" t="str">
        <x:v>Linked to deferred backlog item ENH-002 for future prioritization.</x:v>
      </x:c>
      <x:c r="H3" s="8" t="str">
        <x:v>Not required unless the enhancement is approved and implemented.</x:v>
      </x:c>
    </x:row>
  </x:sheetData>
  <x:dataValidations count="2">
    <x:dataValidation type="list" sqref="D2:D3">
      <x:formula1>"Defect,Requirement misunderstanding,Enhancement request"</x:formula1>
    </x:dataValidation>
    <x:dataValidation type="list" sqref="F2:F3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7a8f27997e41d0"/>
  </x:tableParts>
</x:worksheet>
</file>